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inamalanciuc/Desktop/"/>
    </mc:Choice>
  </mc:AlternateContent>
  <xr:revisionPtr revIDLastSave="0" documentId="8_{CACDA438-DC83-BF46-A92D-A161200D7FDF}" xr6:coauthVersionLast="47" xr6:coauthVersionMax="47" xr10:uidLastSave="{00000000-0000-0000-0000-000000000000}"/>
  <bookViews>
    <workbookView xWindow="1480" yWindow="1680" windowWidth="27240" windowHeight="15500" xr2:uid="{54EB6F61-5946-B346-89F5-9596F3D8EB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2" i="1" l="1"/>
  <c r="F61" i="1"/>
  <c r="F60" i="1"/>
  <c r="D59" i="1"/>
  <c r="E59" i="1" s="1"/>
  <c r="F59" i="1" s="1"/>
  <c r="D57" i="1"/>
  <c r="E57" i="1" s="1"/>
  <c r="F57" i="1" s="1"/>
  <c r="F56" i="1"/>
  <c r="E56" i="1"/>
  <c r="H54" i="1"/>
  <c r="H53" i="1"/>
  <c r="D53" i="1"/>
  <c r="E53" i="1" s="1"/>
  <c r="F53" i="1" s="1"/>
  <c r="H52" i="1"/>
  <c r="F52" i="1"/>
  <c r="H51" i="1"/>
  <c r="F51" i="1"/>
  <c r="R50" i="1"/>
  <c r="H50" i="1"/>
  <c r="R49" i="1"/>
  <c r="H49" i="1"/>
  <c r="R48" i="1"/>
  <c r="H48" i="1"/>
  <c r="D48" i="1"/>
  <c r="E48" i="1" s="1"/>
  <c r="F48" i="1" s="1"/>
  <c r="R47" i="1"/>
  <c r="H47" i="1"/>
  <c r="F47" i="1"/>
  <c r="R46" i="1"/>
  <c r="H46" i="1"/>
  <c r="F46" i="1"/>
  <c r="D46" i="1"/>
  <c r="R45" i="1"/>
  <c r="H45" i="1"/>
  <c r="F45" i="1"/>
  <c r="E45" i="1"/>
  <c r="R44" i="1"/>
  <c r="H44" i="1"/>
  <c r="D44" i="1"/>
  <c r="E44" i="1" s="1"/>
  <c r="F44" i="1" s="1"/>
  <c r="R43" i="1"/>
  <c r="H43" i="1"/>
  <c r="E43" i="1"/>
  <c r="F43" i="1" s="1"/>
  <c r="D43" i="1"/>
  <c r="R42" i="1"/>
  <c r="H42" i="1"/>
  <c r="D42" i="1"/>
  <c r="E42" i="1" s="1"/>
  <c r="F42" i="1" s="1"/>
  <c r="R41" i="1"/>
  <c r="H41" i="1"/>
  <c r="E41" i="1"/>
  <c r="F41" i="1" s="1"/>
  <c r="D41" i="1"/>
  <c r="R40" i="1"/>
  <c r="H40" i="1"/>
  <c r="D40" i="1"/>
  <c r="E40" i="1" s="1"/>
  <c r="F40" i="1" s="1"/>
  <c r="R39" i="1"/>
  <c r="H39" i="1"/>
  <c r="E39" i="1"/>
  <c r="F39" i="1" s="1"/>
  <c r="D39" i="1"/>
  <c r="R38" i="1"/>
  <c r="H38" i="1"/>
  <c r="D38" i="1"/>
  <c r="E38" i="1" s="1"/>
  <c r="F38" i="1" s="1"/>
  <c r="R37" i="1"/>
  <c r="H37" i="1"/>
  <c r="E37" i="1"/>
  <c r="F37" i="1" s="1"/>
  <c r="D37" i="1"/>
  <c r="R36" i="1"/>
  <c r="H36" i="1"/>
  <c r="D36" i="1"/>
  <c r="E36" i="1" s="1"/>
  <c r="F36" i="1" s="1"/>
  <c r="R35" i="1"/>
  <c r="H35" i="1"/>
  <c r="E35" i="1"/>
  <c r="F35" i="1" s="1"/>
  <c r="D35" i="1"/>
  <c r="R34" i="1"/>
  <c r="H34" i="1"/>
  <c r="D34" i="1"/>
  <c r="E34" i="1" s="1"/>
  <c r="F34" i="1" s="1"/>
  <c r="R33" i="1"/>
  <c r="H33" i="1"/>
  <c r="E33" i="1"/>
  <c r="F33" i="1" s="1"/>
  <c r="R32" i="1"/>
  <c r="H32" i="1"/>
  <c r="E32" i="1"/>
  <c r="F32" i="1" s="1"/>
  <c r="R31" i="1"/>
  <c r="H31" i="1"/>
  <c r="F31" i="1"/>
  <c r="R30" i="1"/>
  <c r="H30" i="1"/>
  <c r="F30" i="1"/>
  <c r="D30" i="1"/>
  <c r="R29" i="1"/>
  <c r="H29" i="1"/>
  <c r="D29" i="1"/>
  <c r="E29" i="1" s="1"/>
  <c r="F29" i="1" s="1"/>
  <c r="R28" i="1"/>
  <c r="H28" i="1"/>
  <c r="E28" i="1"/>
  <c r="F28" i="1" s="1"/>
  <c r="D28" i="1"/>
  <c r="R27" i="1"/>
  <c r="H27" i="1"/>
  <c r="D27" i="1"/>
  <c r="E27" i="1" s="1"/>
  <c r="F27" i="1" s="1"/>
  <c r="R26" i="1"/>
  <c r="H26" i="1"/>
  <c r="F26" i="1"/>
  <c r="R25" i="1"/>
  <c r="H25" i="1"/>
  <c r="D25" i="1"/>
  <c r="E25" i="1" s="1"/>
  <c r="F25" i="1" s="1"/>
  <c r="R24" i="1"/>
  <c r="H24" i="1"/>
  <c r="D24" i="1"/>
  <c r="E24" i="1" s="1"/>
  <c r="F24" i="1" s="1"/>
  <c r="R23" i="1"/>
  <c r="H23" i="1"/>
  <c r="D23" i="1"/>
  <c r="E23" i="1" s="1"/>
  <c r="F23" i="1" s="1"/>
  <c r="R22" i="1"/>
  <c r="H22" i="1"/>
  <c r="D22" i="1"/>
  <c r="E22" i="1" s="1"/>
  <c r="F22" i="1" s="1"/>
  <c r="R21" i="1"/>
  <c r="H21" i="1"/>
  <c r="F21" i="1"/>
  <c r="R20" i="1"/>
  <c r="H20" i="1"/>
  <c r="F20" i="1"/>
  <c r="R19" i="1"/>
  <c r="H19" i="1"/>
  <c r="F19" i="1"/>
  <c r="R18" i="1"/>
  <c r="H18" i="1"/>
  <c r="F18" i="1"/>
  <c r="E18" i="1"/>
  <c r="R17" i="1"/>
  <c r="H17" i="1"/>
  <c r="E17" i="1"/>
  <c r="F17" i="1" s="1"/>
  <c r="R16" i="1"/>
  <c r="H16" i="1"/>
  <c r="E16" i="1"/>
  <c r="F16" i="1" s="1"/>
  <c r="R15" i="1"/>
  <c r="H15" i="1"/>
  <c r="E15" i="1"/>
  <c r="F15" i="1" s="1"/>
  <c r="R14" i="1"/>
  <c r="H14" i="1"/>
  <c r="E14" i="1"/>
  <c r="F14" i="1" s="1"/>
  <c r="R13" i="1"/>
  <c r="H13" i="1"/>
  <c r="D13" i="1"/>
  <c r="E13" i="1" s="1"/>
  <c r="F13" i="1" s="1"/>
  <c r="R12" i="1"/>
  <c r="H12" i="1"/>
  <c r="E12" i="1"/>
  <c r="F12" i="1" s="1"/>
  <c r="R11" i="1"/>
  <c r="H11" i="1"/>
  <c r="F11" i="1"/>
  <c r="E11" i="1"/>
  <c r="D11" i="1"/>
  <c r="R10" i="1"/>
  <c r="H10" i="1"/>
  <c r="D10" i="1"/>
  <c r="E10" i="1" s="1"/>
  <c r="F10" i="1" s="1"/>
  <c r="R9" i="1"/>
  <c r="H9" i="1"/>
  <c r="F9" i="1"/>
  <c r="E9" i="1"/>
  <c r="D9" i="1"/>
  <c r="R8" i="1"/>
  <c r="H8" i="1"/>
  <c r="F8" i="1"/>
  <c r="R7" i="1"/>
  <c r="H7" i="1"/>
  <c r="D7" i="1"/>
  <c r="E7" i="1" s="1"/>
  <c r="F7" i="1" s="1"/>
  <c r="R6" i="1"/>
  <c r="H6" i="1"/>
  <c r="D6" i="1"/>
  <c r="E6" i="1" s="1"/>
  <c r="F6" i="1" s="1"/>
  <c r="R5" i="1"/>
  <c r="H5" i="1"/>
  <c r="F5" i="1"/>
  <c r="R4" i="1"/>
  <c r="H4" i="1"/>
  <c r="D4" i="1"/>
  <c r="E4" i="1" s="1"/>
  <c r="F4" i="1" s="1"/>
  <c r="R3" i="1"/>
  <c r="H3" i="1"/>
  <c r="D3" i="1"/>
  <c r="E3" i="1" s="1"/>
  <c r="F3" i="1" s="1"/>
  <c r="R2" i="1"/>
  <c r="H2" i="1"/>
  <c r="D2" i="1"/>
  <c r="E2" i="1" s="1"/>
  <c r="F2" i="1" s="1"/>
</calcChain>
</file>

<file path=xl/sharedStrings.xml><?xml version="1.0" encoding="utf-8"?>
<sst xmlns="http://schemas.openxmlformats.org/spreadsheetml/2006/main" count="245" uniqueCount="81">
  <si>
    <t>Explanatory</t>
  </si>
  <si>
    <t>Response</t>
  </si>
  <si>
    <t>Relationship Sign</t>
  </si>
  <si>
    <t>R^2 value</t>
  </si>
  <si>
    <t>R value</t>
  </si>
  <si>
    <t>Z score</t>
  </si>
  <si>
    <t>Weighted average z score (strength)</t>
  </si>
  <si>
    <t>R converted back from z</t>
  </si>
  <si>
    <t>Sample size</t>
  </si>
  <si>
    <t>Tau^2</t>
  </si>
  <si>
    <t>Porportion heterogeneity</t>
  </si>
  <si>
    <t>Source</t>
  </si>
  <si>
    <t>Temperature</t>
  </si>
  <si>
    <t>SBW survival</t>
  </si>
  <si>
    <t>negative</t>
  </si>
  <si>
    <t>Roe et al. 2024. Diapause survival requires a temperature-sensitive preparatory period</t>
  </si>
  <si>
    <t>Bellemin-Noël et al. 2021. Improved performance of the eastern spruce budworm on black spruce as warming temperatures disrupt phenological defences</t>
  </si>
  <si>
    <t>Moise et al. Early winter warming impacts spruce budworm (Lepidoptera: Tortricidae) energy reserves</t>
  </si>
  <si>
    <t>SBW development</t>
  </si>
  <si>
    <t>Negative</t>
  </si>
  <si>
    <t>Régnière, J. Diapuse Termi0tion and Changes in Thermal Responses During Postdiapause Development in Larvae of the Spruce Budwom Choristoneura fumifera0</t>
  </si>
  <si>
    <t>Temperature Fluctuation</t>
  </si>
  <si>
    <t>Marshall and Sinclair. The relative importance of number, duration and intensity of cold stress events in determining survival and energetics of an overwintering insect</t>
  </si>
  <si>
    <t>Moise et al. Impacts of winter warming events on spruce budworm: the importance of timing</t>
  </si>
  <si>
    <t>Temperature Fluctuations</t>
  </si>
  <si>
    <t>vertebrate Predation</t>
  </si>
  <si>
    <t>positive</t>
  </si>
  <si>
    <t>PREDATION ON PUPAE OF THE SPRUCE BUDWORM (LEPIDOPTERA:
TORTRICIDAE) ON THE FOREST FLOOR</t>
  </si>
  <si>
    <t>Invertebrate Predation</t>
  </si>
  <si>
    <t>Parasitoid</t>
  </si>
  <si>
    <t>Development, reproduction, voltinism and host synchrony of Meteorustrachynotus with its hosts Choristoneura fumifera0 and C. rosacea0</t>
  </si>
  <si>
    <t>Developmental and reproductive responses of the spruce budworm (Lepidoptera: Tortricidae) parasitoid Tranosema rostrale (Hymenoptera: Ichneumonidae) to temperature</t>
  </si>
  <si>
    <t>Developmental and reproductive responses of the spruce budworm (Lepidoptera: Tortricidae) parasitoid Tranosema rostrale (hymenoptera: Ichneumonidae) to temperature</t>
  </si>
  <si>
    <t>A Suggested Role for Predaceous Birds and
Ants in the Population Dy0mics of the
Western Spruce Budworm</t>
  </si>
  <si>
    <t>Area burned (Fire)</t>
  </si>
  <si>
    <t>Detecting the effect of climate change on Ca0dian forest fires</t>
  </si>
  <si>
    <t>Interannual to decadal changes in area burned in Ca0da from 1781 to 1982 and the relationship to Northern Hemisphere land temperatures</t>
  </si>
  <si>
    <t>Fire</t>
  </si>
  <si>
    <t>https://www.mdpi.com/2072-4292/15/13/3401#Results_and_Discussion</t>
  </si>
  <si>
    <t>SBW density</t>
  </si>
  <si>
    <r>
      <t xml:space="preserve">James, P.M.A., Fortin, MJ., Sturtevant, B.R. et al. Modelling Spatial Interactions Among Fire, Spruce Budworm, and Logging in the Boreal Forest. Ecosystems 14, 60–75 (2011). </t>
    </r>
    <r>
      <rPr>
        <u/>
        <sz val="10"/>
        <color rgb="FF1155CC"/>
        <rFont val="Arial"/>
        <family val="2"/>
      </rPr>
      <t>https://doi.org/10.1007/s10021-010-9395-5</t>
    </r>
  </si>
  <si>
    <t>Balsam Fir abundance</t>
  </si>
  <si>
    <t xml:space="preserve">Bouchard, M., &amp; Pothier, D. (2008). Simulations of the effects of changes in mean fire return intervals on balsam fir abundance, and implications for spruce budworm outbreaks. Ecological Modelling, 218(3–4), 207–218. https://doi.org/10.1016/j.ecolmodel.2008.07.001 </t>
  </si>
  <si>
    <t>https://onlinelibrary.wiley.com/doi/pdf/10.2307/3237264?getft_integrator=clarivate&amp;utm_source=clarivate</t>
  </si>
  <si>
    <t>Fire(MFRI)</t>
  </si>
  <si>
    <t xml:space="preserve"> Balsam Fir abundance</t>
  </si>
  <si>
    <r>
      <t xml:space="preserve">Bouchard, M., &amp; Pothier, D. (2008). Simulations of the effects of changes in mean fire return intervals on balsam fir abundance, and implications for spruce budworm outbreaks. Ecological Modelling, 218(3–4), 207–218. </t>
    </r>
    <r>
      <rPr>
        <u/>
        <sz val="10"/>
        <color rgb="FF1155CC"/>
        <rFont val="Arial"/>
        <family val="2"/>
      </rPr>
      <t>https://doi.org/10.1016/j.ecolmodel.2008.07.001</t>
    </r>
    <r>
      <rPr>
        <sz val="12"/>
        <color theme="1"/>
        <rFont val="Aptos Narrow"/>
        <family val="2"/>
        <scheme val="minor"/>
      </rPr>
      <t xml:space="preserve">  </t>
    </r>
  </si>
  <si>
    <t>Balsm Fir abundance</t>
  </si>
  <si>
    <t>Influence of Tree Species Density and Composition on Parasitism of the Spruce Budworm, Choristoneura fumifera0 (Clem.)</t>
  </si>
  <si>
    <t>Non-host abundance</t>
  </si>
  <si>
    <t>Hardwood-softwood composition influences early-instar larval dispersal mortality during a spruce budworm outbreak</t>
  </si>
  <si>
    <t>Forest overstory composition and seedling height influence defoliation of understory regeneration by spruce budworm</t>
  </si>
  <si>
    <t>Parasitism Rates of Spruce Budworm Larvae: Testing the Enemy Hypothesis Along a Gradient of Forest Diversity Measured at Different Spatial Scales</t>
  </si>
  <si>
    <t>Monoterpenes Concentration</t>
  </si>
  <si>
    <t>Complementary roles of two classes of defense chemicals in white spruce against spruce budworm</t>
  </si>
  <si>
    <t xml:space="preserve">Spruce budworm biological and nutritio0l performance responses to varying levels of monoterpenes. </t>
  </si>
  <si>
    <t>Phenolics Concentration</t>
  </si>
  <si>
    <t>Phenolic compounds that confer resistance to spruce budworm</t>
  </si>
  <si>
    <t>Parasitoids</t>
  </si>
  <si>
    <t>Positive</t>
  </si>
  <si>
    <t>Spruce budworm impact, abundance and parasitism rate
in a patchy landscape</t>
  </si>
  <si>
    <t>Bird Predation And Spruce Budworm Populations</t>
  </si>
  <si>
    <t>Parasitoid community responds indiscrimi0tely to fluctuating spruce budworm (Lepidoptera: Tortricidae) and other caterpillars on balsam fir (Pi0ceae</t>
  </si>
  <si>
    <t>Parasitoid community responds indiscrimi0tely to fluctuating spruce budworm (Lepidoptera: Tortricidae) and other caterpillars on balsam fir (Pi0ceae)</t>
  </si>
  <si>
    <t xml:space="preserve">                                                                                                             </t>
  </si>
  <si>
    <t>Phenological synchrony between eastern spruce budworm and its host trees increases with warmer temperatures in the boreal forest</t>
  </si>
  <si>
    <t>Phenolics</t>
  </si>
  <si>
    <t>https://www.sciencedirect.com/science/article/pii/S1146609X15300424?casa_token=Z_wlSyezi9IAAAAA:A5U0x6p26Yj8YHJWNPIkK3ZeEkfgDcG-65HgvGHAhpXaT1THXfPKIUnjIOUhTjEHMyr0ubJkTFI#sec3</t>
  </si>
  <si>
    <t>Monoterpens</t>
  </si>
  <si>
    <t>I think 4 - 16 chambers, 4 treatments so 4 chambers/treatment</t>
  </si>
  <si>
    <t>https://www.sciencedirect.com/science/article/pii/S1352231008000496#section0035</t>
  </si>
  <si>
    <t>note about density and survival: only considering density -&gt; survival because assuming that when density hits certain point pop explosion occurs</t>
  </si>
  <si>
    <t>SBW Density</t>
  </si>
  <si>
    <t>SBW mass</t>
  </si>
  <si>
    <t>?</t>
  </si>
  <si>
    <t>Host abundance</t>
  </si>
  <si>
    <t>H  7.75, P  0.021</t>
  </si>
  <si>
    <t>SBW defoiliation</t>
  </si>
  <si>
    <r>
      <rPr>
        <sz val="10"/>
        <rFont val="Arial"/>
        <family val="2"/>
      </rPr>
      <t xml:space="preserve">James, P.M.A., Fortin, MJ., Sturtevant, B.R. et al. Modelling Spatial Interactions Among Fire, Spruce Budworm, and Logging in the Boreal Forest. Ecosystems 14, 60–75 (2011). </t>
    </r>
    <r>
      <rPr>
        <u/>
        <sz val="10"/>
        <color rgb="FF1155CC"/>
        <rFont val="Arial"/>
        <family val="2"/>
      </rPr>
      <t>https://doi.org/10.1007/s10021-010-9395-5</t>
    </r>
  </si>
  <si>
    <t>postive</t>
  </si>
  <si>
    <t>positve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</si>
</sst>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ptos Narrow"/>
      <family val="2"/>
      <scheme val="minor"/>
    </font>
    <font>
      <sz val="10"/>
      <color rgb="FF1F1F1F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sz val="9"/>
      <color theme="1"/>
      <name val="Aptos Narrow"/>
      <family val="2"/>
      <scheme val="minor"/>
    </font>
    <font>
      <sz val="11"/>
      <color rgb="FF1F1F1F"/>
      <name val="Arial"/>
      <family val="2"/>
    </font>
    <font>
      <sz val="11"/>
      <color rgb="FF1F1F1F"/>
      <name val="ElsevierGulliver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DEE4EA"/>
        <bgColor rgb="FFDEE4EA"/>
      </patternFill>
    </fill>
    <fill>
      <patternFill patternType="solid">
        <fgColor rgb="FFE6B8AF"/>
        <bgColor rgb="FFE6B8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3" fillId="3" borderId="0" xfId="0" applyFont="1" applyFill="1" applyAlignment="1">
      <alignment horizontal="right"/>
    </xf>
    <xf numFmtId="0" fontId="2" fillId="4" borderId="0" xfId="0" applyFont="1" applyFill="1"/>
    <xf numFmtId="10" fontId="2" fillId="3" borderId="0" xfId="0" applyNumberFormat="1" applyFont="1" applyFill="1"/>
    <xf numFmtId="0" fontId="4" fillId="3" borderId="0" xfId="0" applyFont="1" applyFill="1"/>
    <xf numFmtId="0" fontId="3" fillId="0" borderId="0" xfId="0" applyFont="1" applyAlignment="1">
      <alignment horizontal="right"/>
    </xf>
    <xf numFmtId="0" fontId="3" fillId="4" borderId="0" xfId="0" applyFont="1" applyFill="1" applyAlignment="1">
      <alignment horizontal="right"/>
    </xf>
    <xf numFmtId="0" fontId="3" fillId="3" borderId="0" xfId="0" applyFont="1" applyFill="1"/>
    <xf numFmtId="0" fontId="3" fillId="4" borderId="0" xfId="0" applyFont="1" applyFill="1"/>
    <xf numFmtId="10" fontId="3" fillId="3" borderId="0" xfId="0" applyNumberFormat="1" applyFont="1" applyFill="1"/>
    <xf numFmtId="10" fontId="2" fillId="0" borderId="0" xfId="0" applyNumberFormat="1" applyFont="1"/>
    <xf numFmtId="0" fontId="2" fillId="5" borderId="0" xfId="0" applyFont="1" applyFill="1"/>
    <xf numFmtId="0" fontId="3" fillId="5" borderId="0" xfId="0" applyFont="1" applyFill="1" applyAlignment="1">
      <alignment horizontal="right"/>
    </xf>
    <xf numFmtId="0" fontId="5" fillId="3" borderId="0" xfId="0" applyFont="1" applyFill="1"/>
    <xf numFmtId="0" fontId="3" fillId="3" borderId="0" xfId="0" applyFont="1" applyFill="1" applyAlignment="1">
      <alignment vertical="top" wrapText="1"/>
    </xf>
    <xf numFmtId="0" fontId="6" fillId="0" borderId="0" xfId="0" applyFont="1"/>
    <xf numFmtId="0" fontId="6" fillId="3" borderId="0" xfId="0" applyFont="1" applyFill="1"/>
    <xf numFmtId="0" fontId="6" fillId="5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2" fillId="6" borderId="0" xfId="0" applyFont="1" applyFill="1"/>
    <xf numFmtId="0" fontId="2" fillId="6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10" fontId="2" fillId="6" borderId="0" xfId="0" applyNumberFormat="1" applyFont="1" applyFill="1"/>
    <xf numFmtId="0" fontId="2" fillId="7" borderId="0" xfId="0" applyFont="1" applyFill="1"/>
    <xf numFmtId="0" fontId="8" fillId="0" borderId="0" xfId="0" applyFont="1"/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wrapText="1"/>
    </xf>
    <xf numFmtId="0" fontId="2" fillId="8" borderId="0" xfId="0" applyFont="1" applyFill="1"/>
    <xf numFmtId="0" fontId="3" fillId="8" borderId="0" xfId="0" applyFont="1" applyFill="1" applyAlignment="1">
      <alignment horizontal="right"/>
    </xf>
    <xf numFmtId="0" fontId="3" fillId="8" borderId="0" xfId="0" applyFont="1" applyFill="1"/>
    <xf numFmtId="10" fontId="3" fillId="8" borderId="0" xfId="0" applyNumberFormat="1" applyFont="1" applyFill="1"/>
    <xf numFmtId="0" fontId="3" fillId="0" borderId="0" xfId="0" applyFont="1"/>
    <xf numFmtId="0" fontId="3" fillId="8" borderId="0" xfId="0" applyFont="1" applyFill="1" applyAlignment="1">
      <alignment wrapText="1"/>
    </xf>
    <xf numFmtId="0" fontId="3" fillId="8" borderId="0" xfId="0" applyFont="1" applyFill="1" applyAlignment="1">
      <alignment vertical="top" wrapText="1"/>
    </xf>
    <xf numFmtId="0" fontId="3" fillId="9" borderId="0" xfId="0" applyFont="1" applyFill="1"/>
    <xf numFmtId="0" fontId="9" fillId="0" borderId="0" xfId="0" applyFont="1" applyAlignment="1">
      <alignment horizontal="left"/>
    </xf>
    <xf numFmtId="0" fontId="6" fillId="9" borderId="0" xfId="0" applyFont="1" applyFill="1"/>
    <xf numFmtId="0" fontId="10" fillId="0" borderId="0" xfId="0" applyFont="1" applyAlignment="1">
      <alignment horizontal="left"/>
    </xf>
    <xf numFmtId="0" fontId="3" fillId="7" borderId="0" xfId="0" applyFont="1" applyFill="1"/>
    <xf numFmtId="0" fontId="2" fillId="10" borderId="0" xfId="0" applyFont="1" applyFill="1"/>
    <xf numFmtId="0" fontId="3" fillId="10" borderId="0" xfId="0" applyFont="1" applyFill="1" applyAlignment="1">
      <alignment horizontal="right"/>
    </xf>
    <xf numFmtId="0" fontId="3" fillId="10" borderId="0" xfId="0" applyFont="1" applyFill="1"/>
    <xf numFmtId="0" fontId="6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07/s10021-010-9395-5" TargetMode="External"/><Relationship Id="rId3" Type="http://schemas.openxmlformats.org/officeDocument/2006/relationships/hyperlink" Target="https://onlinelibrary.wiley.com/doi/pdf/10.2307/3237264?getft_integrator=clarivate&amp;utm_source=clarivate" TargetMode="External"/><Relationship Id="rId7" Type="http://schemas.openxmlformats.org/officeDocument/2006/relationships/hyperlink" Target="https://www.sciencedirect.com/science/article/pii/S1352231008000496" TargetMode="External"/><Relationship Id="rId2" Type="http://schemas.openxmlformats.org/officeDocument/2006/relationships/hyperlink" Target="https://doi.org/10.1007/s10021-010-9395-5" TargetMode="External"/><Relationship Id="rId1" Type="http://schemas.openxmlformats.org/officeDocument/2006/relationships/hyperlink" Target="https://www.mdpi.com/2072-4292/15/13/3401" TargetMode="External"/><Relationship Id="rId6" Type="http://schemas.openxmlformats.org/officeDocument/2006/relationships/hyperlink" Target="https://www.sciencedirect.com/science/article/pii/S1146609X15300424?casa_token=Z_wlSyezi9IAAAAA:A5U0x6p26Yj8YHJWNPIkK3ZeEkfgDcG-65HgvGHAhpXaT1THXfPKIUnjIOUhTjEHMyr0ubJkTFI" TargetMode="External"/><Relationship Id="rId5" Type="http://schemas.openxmlformats.org/officeDocument/2006/relationships/hyperlink" Target="https://www.sciencedirect.com/science/article/pii/S1146609X15300424?casa_token=Z_wlSyezi9IAAAAA:A5U0x6p26Yj8YHJWNPIkK3ZeEkfgDcG-65HgvGHAhpXaT1THXfPKIUnjIOUhTjEHMyr0ubJkTFI" TargetMode="External"/><Relationship Id="rId4" Type="http://schemas.openxmlformats.org/officeDocument/2006/relationships/hyperlink" Target="https://doi.org/10.1016/j.ecolmodel.2008.07.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21C0A-5E8E-6143-9FE8-1890C21841CB}">
  <dimension ref="A1:R62"/>
  <sheetViews>
    <sheetView tabSelected="1" topLeftCell="A9" workbookViewId="0">
      <selection activeCell="L60" sqref="L60"/>
    </sheetView>
  </sheetViews>
  <sheetFormatPr baseColWidth="10" defaultRowHeight="16"/>
  <cols>
    <col min="1" max="1" width="23" customWidth="1"/>
    <col min="2" max="2" width="20.5" customWidth="1"/>
    <col min="3" max="3" width="10.5" customWidth="1"/>
    <col min="4" max="4" width="13.33203125" customWidth="1"/>
    <col min="5" max="6" width="14.6640625" customWidth="1"/>
    <col min="7" max="7" width="17.6640625" customWidth="1"/>
    <col min="8" max="8" width="18.33203125" customWidth="1"/>
    <col min="9" max="9" width="11.1640625" customWidth="1"/>
    <col min="12" max="12" width="67.3320312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8">
      <c r="A2" s="3" t="s">
        <v>12</v>
      </c>
      <c r="B2" s="3" t="s">
        <v>13</v>
      </c>
      <c r="C2" s="3" t="s">
        <v>14</v>
      </c>
      <c r="D2" s="3">
        <f>6.726/(11.5+(99))</f>
        <v>6.0868778280542983E-2</v>
      </c>
      <c r="E2" s="4">
        <f>-SQRT(D2)</f>
        <v>-0.2467159870793601</v>
      </c>
      <c r="F2" s="4">
        <f>-0.5*LN((1+E2)/(1-E2))</f>
        <v>0.25191291545282951</v>
      </c>
      <c r="G2" s="5">
        <v>-0.26190000000000002</v>
      </c>
      <c r="H2" s="3">
        <f t="shared" ref="H2:H54" si="0">TANH(G2)</f>
        <v>-0.25607180644776084</v>
      </c>
      <c r="I2" s="3">
        <v>25</v>
      </c>
      <c r="J2" s="3">
        <v>6.1499999999999999E-2</v>
      </c>
      <c r="K2" s="6">
        <v>0.86919999999999997</v>
      </c>
      <c r="L2" s="3" t="s">
        <v>15</v>
      </c>
      <c r="R2" s="2">
        <f t="shared" ref="R2:R50" si="1">TANH(G2)</f>
        <v>-0.25607180644776084</v>
      </c>
    </row>
    <row r="3" spans="1:18">
      <c r="A3" s="3" t="s">
        <v>12</v>
      </c>
      <c r="B3" s="3" t="s">
        <v>13</v>
      </c>
      <c r="C3" s="3" t="s">
        <v>14</v>
      </c>
      <c r="D3" s="3">
        <f>0.291/(0.291+(281/1))</f>
        <v>1.0345158572439216E-3</v>
      </c>
      <c r="E3" s="3">
        <f>-SQRT(D3)</f>
        <v>-3.2163890580026569E-2</v>
      </c>
      <c r="F3" s="3">
        <f>0.5*LN((1+E3)/(1-E3))</f>
        <v>-3.2174988821237267E-2</v>
      </c>
      <c r="G3" s="3"/>
      <c r="H3" s="3">
        <f t="shared" si="0"/>
        <v>0</v>
      </c>
      <c r="I3" s="3">
        <v>282</v>
      </c>
      <c r="J3" s="3"/>
      <c r="K3" s="3"/>
      <c r="L3" s="3" t="s">
        <v>16</v>
      </c>
      <c r="R3" s="2">
        <f t="shared" si="1"/>
        <v>0</v>
      </c>
    </row>
    <row r="4" spans="1:18">
      <c r="A4" s="3" t="s">
        <v>12</v>
      </c>
      <c r="B4" s="3" t="s">
        <v>13</v>
      </c>
      <c r="C4" s="3" t="s">
        <v>14</v>
      </c>
      <c r="D4" s="3">
        <f>2.66/(2.66+(28/3))</f>
        <v>0.22178988326848248</v>
      </c>
      <c r="E4" s="3">
        <f>-SQRT(D4)</f>
        <v>-0.47094573282755464</v>
      </c>
      <c r="F4" s="3">
        <f>-0.5*LN((1+E4)/(1-E4))</f>
        <v>0.51128490876470389</v>
      </c>
      <c r="G4" s="3"/>
      <c r="H4" s="3">
        <f t="shared" si="0"/>
        <v>0</v>
      </c>
      <c r="I4" s="3">
        <v>140</v>
      </c>
      <c r="J4" s="3"/>
      <c r="K4" s="3"/>
      <c r="L4" s="7" t="s">
        <v>17</v>
      </c>
      <c r="R4" s="2">
        <f t="shared" si="1"/>
        <v>0</v>
      </c>
    </row>
    <row r="5" spans="1:18">
      <c r="A5" s="2" t="s">
        <v>12</v>
      </c>
      <c r="B5" s="2" t="s">
        <v>18</v>
      </c>
      <c r="C5" s="2" t="s">
        <v>19</v>
      </c>
      <c r="D5" s="8"/>
      <c r="E5" s="8">
        <v>-0.23497813499638701</v>
      </c>
      <c r="F5" s="9">
        <f>0.5*LN((1+E5)/(1-E5))</f>
        <v>-0.23945206466341457</v>
      </c>
      <c r="H5" s="3">
        <f t="shared" si="0"/>
        <v>0</v>
      </c>
      <c r="I5" s="2">
        <v>325</v>
      </c>
      <c r="L5" s="2" t="s">
        <v>20</v>
      </c>
      <c r="R5" s="2">
        <f t="shared" si="1"/>
        <v>0</v>
      </c>
    </row>
    <row r="6" spans="1:18">
      <c r="A6" s="10" t="s">
        <v>21</v>
      </c>
      <c r="B6" s="10" t="s">
        <v>13</v>
      </c>
      <c r="C6" s="10" t="s">
        <v>14</v>
      </c>
      <c r="D6" s="4">
        <f>4.66/(4.66+(40/2))</f>
        <v>0.18896999188969993</v>
      </c>
      <c r="E6" s="4">
        <f t="shared" ref="E6:E7" si="2">-SQRT(D6)</f>
        <v>-0.43470678840995791</v>
      </c>
      <c r="F6" s="4">
        <f>-0.5*LN((1+E6)/(1-E6))</f>
        <v>0.465685611790573</v>
      </c>
      <c r="G6" s="11">
        <v>-0.27250000000000002</v>
      </c>
      <c r="H6" s="3">
        <f t="shared" si="0"/>
        <v>-0.26594955336092141</v>
      </c>
      <c r="I6" s="4">
        <v>42</v>
      </c>
      <c r="J6" s="10">
        <v>3.9199999999999999E-2</v>
      </c>
      <c r="K6" s="12">
        <v>0.69620000000000004</v>
      </c>
      <c r="L6" s="10" t="s">
        <v>22</v>
      </c>
      <c r="M6" s="10"/>
      <c r="N6" s="10"/>
      <c r="O6" s="10"/>
      <c r="P6" s="10"/>
      <c r="Q6" s="10"/>
      <c r="R6" s="2">
        <f t="shared" si="1"/>
        <v>-0.26594955336092141</v>
      </c>
    </row>
    <row r="7" spans="1:18">
      <c r="A7" s="10" t="s">
        <v>21</v>
      </c>
      <c r="B7" s="10" t="s">
        <v>13</v>
      </c>
      <c r="C7" s="10" t="s">
        <v>19</v>
      </c>
      <c r="D7" s="4">
        <f>4.758/(4.758+(279/1))</f>
        <v>1.6767809189520647E-2</v>
      </c>
      <c r="E7" s="4">
        <f t="shared" si="2"/>
        <v>-0.12949057567838923</v>
      </c>
      <c r="F7" s="4">
        <f>0.5*LN((1+E7)/(1-E7))</f>
        <v>-0.13022170329624805</v>
      </c>
      <c r="G7" s="10"/>
      <c r="H7" s="3">
        <f t="shared" si="0"/>
        <v>0</v>
      </c>
      <c r="I7" s="4">
        <v>120</v>
      </c>
      <c r="J7" s="10"/>
      <c r="K7" s="10"/>
      <c r="L7" s="10" t="s">
        <v>23</v>
      </c>
      <c r="M7" s="10"/>
      <c r="N7" s="10"/>
      <c r="O7" s="10"/>
      <c r="P7" s="10"/>
      <c r="Q7" s="10"/>
      <c r="R7" s="2">
        <f t="shared" si="1"/>
        <v>0</v>
      </c>
    </row>
    <row r="8" spans="1:18">
      <c r="A8" s="2" t="s">
        <v>24</v>
      </c>
      <c r="B8" s="2" t="s">
        <v>18</v>
      </c>
      <c r="C8" s="2" t="s">
        <v>19</v>
      </c>
      <c r="D8" s="8"/>
      <c r="E8" s="8">
        <v>-0.371390676354103</v>
      </c>
      <c r="F8" s="8">
        <f t="shared" ref="F8:F9" si="3">-0.5*LN((1+E8)/(1-E8))</f>
        <v>0.39003531977071454</v>
      </c>
      <c r="G8" s="5">
        <v>-0.27089999999999997</v>
      </c>
      <c r="H8" s="3">
        <f t="shared" si="0"/>
        <v>-0.26446208834906837</v>
      </c>
      <c r="I8" s="2">
        <v>645</v>
      </c>
      <c r="J8" s="2">
        <v>2.6599999999999999E-2</v>
      </c>
      <c r="K8" s="13">
        <v>0.95420000000000005</v>
      </c>
      <c r="L8" s="2" t="s">
        <v>20</v>
      </c>
      <c r="R8" s="2">
        <f t="shared" si="1"/>
        <v>-0.26446208834906837</v>
      </c>
    </row>
    <row r="9" spans="1:18">
      <c r="A9" s="2" t="s">
        <v>24</v>
      </c>
      <c r="B9" s="2" t="s">
        <v>18</v>
      </c>
      <c r="C9" s="2" t="s">
        <v>19</v>
      </c>
      <c r="D9" s="8">
        <f>6.726/(6.726+(281/1))</f>
        <v>2.3376406720282492E-2</v>
      </c>
      <c r="E9" s="8">
        <f>-SQRT(D9)</f>
        <v>-0.15289344891224899</v>
      </c>
      <c r="F9" s="8">
        <f t="shared" si="3"/>
        <v>0.15410180949960722</v>
      </c>
      <c r="H9" s="3">
        <f t="shared" si="0"/>
        <v>0</v>
      </c>
      <c r="I9" s="2">
        <v>1011</v>
      </c>
      <c r="L9" s="2" t="s">
        <v>16</v>
      </c>
      <c r="R9" s="2">
        <f t="shared" si="1"/>
        <v>0</v>
      </c>
    </row>
    <row r="10" spans="1:18">
      <c r="A10" s="3" t="s">
        <v>12</v>
      </c>
      <c r="B10" s="3" t="s">
        <v>25</v>
      </c>
      <c r="C10" s="3" t="s">
        <v>26</v>
      </c>
      <c r="D10" s="4">
        <f>0.9/(0.9+9)</f>
        <v>9.0909090909090912E-2</v>
      </c>
      <c r="E10" s="4">
        <f>SQRT(D10)</f>
        <v>0.30151134457776363</v>
      </c>
      <c r="F10" s="4">
        <f t="shared" ref="F10:F17" si="4">0.5*LN((1+E10)/(1-E10))</f>
        <v>0.31118125185738943</v>
      </c>
      <c r="G10" s="5">
        <v>0.2082</v>
      </c>
      <c r="H10" s="3">
        <f t="shared" si="0"/>
        <v>0.20524296274253939</v>
      </c>
      <c r="I10" s="3">
        <v>9</v>
      </c>
      <c r="J10" s="3"/>
      <c r="K10" s="3"/>
      <c r="L10" s="3" t="s">
        <v>27</v>
      </c>
      <c r="M10" s="3"/>
      <c r="N10" s="3"/>
      <c r="O10" s="3"/>
      <c r="P10" s="3"/>
      <c r="Q10" s="3"/>
      <c r="R10" s="2">
        <f t="shared" si="1"/>
        <v>0.20524296274253939</v>
      </c>
    </row>
    <row r="11" spans="1:18">
      <c r="A11" s="3" t="s">
        <v>12</v>
      </c>
      <c r="B11" s="3" t="s">
        <v>25</v>
      </c>
      <c r="C11" s="3" t="s">
        <v>26</v>
      </c>
      <c r="D11" s="4">
        <f>0.1/(0.1+9)</f>
        <v>1.098901098901099E-2</v>
      </c>
      <c r="E11" s="4">
        <f t="shared" ref="E11:E14" si="5">SQRT(D11)</f>
        <v>0.10482848367219183</v>
      </c>
      <c r="F11" s="4">
        <f t="shared" si="4"/>
        <v>0.10521502261918017</v>
      </c>
      <c r="G11" s="3"/>
      <c r="H11" s="3">
        <f t="shared" si="0"/>
        <v>0</v>
      </c>
      <c r="I11" s="3">
        <v>9</v>
      </c>
      <c r="J11" s="3"/>
      <c r="K11" s="3"/>
      <c r="L11" s="3" t="s">
        <v>27</v>
      </c>
      <c r="M11" s="3"/>
      <c r="N11" s="3"/>
      <c r="O11" s="3"/>
      <c r="P11" s="3"/>
      <c r="Q11" s="3"/>
      <c r="R11" s="2">
        <f t="shared" si="1"/>
        <v>0</v>
      </c>
    </row>
    <row r="12" spans="1:18">
      <c r="A12" s="14" t="s">
        <v>12</v>
      </c>
      <c r="B12" s="14" t="s">
        <v>28</v>
      </c>
      <c r="C12" s="14" t="s">
        <v>26</v>
      </c>
      <c r="D12" s="15">
        <v>0.84</v>
      </c>
      <c r="E12" s="15">
        <f t="shared" si="5"/>
        <v>0.91651513899116799</v>
      </c>
      <c r="F12" s="9">
        <f t="shared" si="4"/>
        <v>1.5667992369724111</v>
      </c>
      <c r="G12" s="15"/>
      <c r="H12" s="3">
        <f t="shared" si="0"/>
        <v>0</v>
      </c>
      <c r="I12" s="14">
        <v>9</v>
      </c>
      <c r="J12" s="14"/>
      <c r="K12" s="14"/>
      <c r="L12" s="14" t="s">
        <v>27</v>
      </c>
      <c r="M12" s="14"/>
      <c r="N12" s="14"/>
      <c r="O12" s="14"/>
      <c r="P12" s="14"/>
      <c r="Q12" s="14"/>
      <c r="R12" s="2">
        <f t="shared" si="1"/>
        <v>0</v>
      </c>
    </row>
    <row r="13" spans="1:18">
      <c r="A13" s="3" t="s">
        <v>12</v>
      </c>
      <c r="B13" s="3" t="s">
        <v>29</v>
      </c>
      <c r="C13" s="3" t="s">
        <v>26</v>
      </c>
      <c r="D13" s="3">
        <f>523.3/(523.3+(294))</f>
        <v>0.64027896733145717</v>
      </c>
      <c r="E13" s="3">
        <f t="shared" si="5"/>
        <v>0.80017433558660023</v>
      </c>
      <c r="F13" s="3">
        <f t="shared" si="4"/>
        <v>1.0990967419075277</v>
      </c>
      <c r="G13" s="5">
        <v>0.41689999999999999</v>
      </c>
      <c r="H13" s="3">
        <f t="shared" si="0"/>
        <v>0.39431563960035998</v>
      </c>
      <c r="I13" s="3">
        <v>216</v>
      </c>
      <c r="J13" s="3">
        <v>4.1571999999999996</v>
      </c>
      <c r="K13" s="6">
        <v>0.99890000000000001</v>
      </c>
      <c r="L13" s="3" t="s">
        <v>30</v>
      </c>
      <c r="M13" s="3"/>
      <c r="N13" s="3"/>
      <c r="O13" s="3"/>
      <c r="P13" s="3"/>
      <c r="Q13" s="3"/>
      <c r="R13" s="2">
        <f t="shared" si="1"/>
        <v>0.39431563960035998</v>
      </c>
    </row>
    <row r="14" spans="1:18">
      <c r="A14" s="3" t="s">
        <v>12</v>
      </c>
      <c r="B14" s="3" t="s">
        <v>29</v>
      </c>
      <c r="C14" s="3" t="s">
        <v>26</v>
      </c>
      <c r="D14" s="3">
        <v>0.99</v>
      </c>
      <c r="E14" s="3">
        <f t="shared" si="5"/>
        <v>0.99498743710661997</v>
      </c>
      <c r="F14" s="3">
        <f t="shared" si="4"/>
        <v>2.9932228461263821</v>
      </c>
      <c r="G14" s="3"/>
      <c r="H14" s="3">
        <f t="shared" si="0"/>
        <v>0</v>
      </c>
      <c r="I14" s="3">
        <v>212</v>
      </c>
      <c r="J14" s="3"/>
      <c r="K14" s="3"/>
      <c r="L14" s="16" t="s">
        <v>31</v>
      </c>
      <c r="M14" s="3"/>
      <c r="N14" s="3"/>
      <c r="O14" s="3"/>
      <c r="P14" s="3"/>
      <c r="Q14" s="3"/>
      <c r="R14" s="2">
        <f t="shared" si="1"/>
        <v>0</v>
      </c>
    </row>
    <row r="15" spans="1:18" ht="23" customHeight="1">
      <c r="A15" s="3" t="s">
        <v>12</v>
      </c>
      <c r="B15" s="3" t="s">
        <v>29</v>
      </c>
      <c r="C15" s="10" t="s">
        <v>19</v>
      </c>
      <c r="D15" s="4">
        <v>0.59199999999999997</v>
      </c>
      <c r="E15" s="4">
        <f t="shared" ref="E15:E17" si="6">-SQRT(D15)</f>
        <v>-0.76941536246685382</v>
      </c>
      <c r="F15" s="4">
        <f t="shared" si="4"/>
        <v>-1.0188932406214033</v>
      </c>
      <c r="G15" s="10"/>
      <c r="H15" s="3">
        <f t="shared" si="0"/>
        <v>0</v>
      </c>
      <c r="I15" s="4">
        <v>212</v>
      </c>
      <c r="J15" s="10"/>
      <c r="K15" s="10"/>
      <c r="L15" s="17" t="s">
        <v>32</v>
      </c>
      <c r="M15" s="10"/>
      <c r="N15" s="10"/>
      <c r="O15" s="10"/>
      <c r="P15" s="10"/>
      <c r="Q15" s="10"/>
      <c r="R15" s="2">
        <f t="shared" si="1"/>
        <v>0</v>
      </c>
    </row>
    <row r="16" spans="1:18" ht="23" customHeight="1">
      <c r="A16" s="3" t="s">
        <v>12</v>
      </c>
      <c r="B16" s="3" t="s">
        <v>29</v>
      </c>
      <c r="C16" s="10" t="s">
        <v>19</v>
      </c>
      <c r="D16" s="4">
        <v>0.78600000000000003</v>
      </c>
      <c r="E16" s="4">
        <f t="shared" si="6"/>
        <v>-0.88656641037206008</v>
      </c>
      <c r="F16" s="4">
        <f t="shared" si="4"/>
        <v>-1.4056480947364112</v>
      </c>
      <c r="G16" s="10"/>
      <c r="H16" s="3">
        <f t="shared" si="0"/>
        <v>0</v>
      </c>
      <c r="I16" s="4">
        <v>212</v>
      </c>
      <c r="J16" s="10"/>
      <c r="K16" s="10"/>
      <c r="L16" s="17" t="s">
        <v>32</v>
      </c>
      <c r="M16" s="10"/>
      <c r="N16" s="10"/>
      <c r="O16" s="10"/>
      <c r="P16" s="10"/>
      <c r="Q16" s="10"/>
      <c r="R16" s="2">
        <f t="shared" si="1"/>
        <v>0</v>
      </c>
    </row>
    <row r="17" spans="1:18">
      <c r="A17" s="2" t="s">
        <v>25</v>
      </c>
      <c r="B17" s="2" t="s">
        <v>13</v>
      </c>
      <c r="C17" s="2" t="s">
        <v>14</v>
      </c>
      <c r="D17" s="2">
        <v>0.51</v>
      </c>
      <c r="E17" s="2">
        <f t="shared" si="6"/>
        <v>-0.71414284285428498</v>
      </c>
      <c r="F17" s="9">
        <f t="shared" si="4"/>
        <v>-0.89558809952997576</v>
      </c>
      <c r="H17" s="3">
        <f t="shared" si="0"/>
        <v>0</v>
      </c>
      <c r="I17" s="2">
        <v>7</v>
      </c>
      <c r="L17" s="2" t="s">
        <v>33</v>
      </c>
      <c r="R17" s="2">
        <f t="shared" si="1"/>
        <v>0</v>
      </c>
    </row>
    <row r="18" spans="1:18">
      <c r="A18" s="3" t="s">
        <v>28</v>
      </c>
      <c r="B18" s="3" t="s">
        <v>13</v>
      </c>
      <c r="C18" s="3" t="s">
        <v>14</v>
      </c>
      <c r="D18" s="3">
        <v>0.45</v>
      </c>
      <c r="E18" s="3">
        <f>SQRT(D18)</f>
        <v>0.67082039324993692</v>
      </c>
      <c r="F18" s="9">
        <f>-0.5*LN((1+E18)/(1-E18))</f>
        <v>-0.81223325962408077</v>
      </c>
      <c r="G18" s="3"/>
      <c r="H18" s="3">
        <f t="shared" si="0"/>
        <v>0</v>
      </c>
      <c r="I18" s="3">
        <v>7</v>
      </c>
      <c r="J18" s="3"/>
      <c r="K18" s="3"/>
      <c r="L18" s="3" t="s">
        <v>33</v>
      </c>
      <c r="M18" s="3"/>
      <c r="N18" s="3"/>
      <c r="O18" s="3"/>
      <c r="P18" s="3"/>
      <c r="Q18" s="3"/>
      <c r="R18" s="2">
        <f t="shared" si="1"/>
        <v>0</v>
      </c>
    </row>
    <row r="19" spans="1:18">
      <c r="A19" s="2" t="s">
        <v>12</v>
      </c>
      <c r="B19" s="2" t="s">
        <v>34</v>
      </c>
      <c r="C19" s="2" t="s">
        <v>26</v>
      </c>
      <c r="E19" s="2">
        <v>0.77</v>
      </c>
      <c r="F19" s="8">
        <f t="shared" ref="F19:F22" si="7">0.5*LN((1+E19)/(1-E19))</f>
        <v>1.0203277583223398</v>
      </c>
      <c r="G19" s="5">
        <v>0.60630799999999996</v>
      </c>
      <c r="H19" s="3">
        <f t="shared" si="0"/>
        <v>0.54152298555204936</v>
      </c>
      <c r="I19" s="2">
        <v>16</v>
      </c>
      <c r="J19" s="2">
        <v>0.26989999999999997</v>
      </c>
      <c r="K19" s="2">
        <v>78.39</v>
      </c>
      <c r="L19" s="2" t="s">
        <v>35</v>
      </c>
      <c r="R19" s="2">
        <f t="shared" si="1"/>
        <v>0.54152298555204936</v>
      </c>
    </row>
    <row r="20" spans="1:18">
      <c r="A20" s="2" t="s">
        <v>12</v>
      </c>
      <c r="B20" s="2" t="s">
        <v>34</v>
      </c>
      <c r="C20" s="2" t="s">
        <v>26</v>
      </c>
      <c r="E20" s="2">
        <v>0.32</v>
      </c>
      <c r="F20" s="8">
        <f t="shared" si="7"/>
        <v>0.33164710870513214</v>
      </c>
      <c r="H20" s="3">
        <f t="shared" si="0"/>
        <v>0</v>
      </c>
      <c r="I20" s="2">
        <v>126</v>
      </c>
      <c r="L20" s="2" t="s">
        <v>36</v>
      </c>
      <c r="R20" s="2">
        <f t="shared" si="1"/>
        <v>0</v>
      </c>
    </row>
    <row r="21" spans="1:18">
      <c r="A21" s="2" t="s">
        <v>12</v>
      </c>
      <c r="B21" s="2" t="s">
        <v>37</v>
      </c>
      <c r="C21" s="2" t="s">
        <v>26</v>
      </c>
      <c r="E21" s="2">
        <v>0.57999999999999996</v>
      </c>
      <c r="F21" s="2">
        <f t="shared" si="7"/>
        <v>0.66246270737179924</v>
      </c>
      <c r="H21" s="3">
        <f t="shared" si="0"/>
        <v>0</v>
      </c>
      <c r="I21" s="2">
        <v>63</v>
      </c>
      <c r="L21" s="18" t="s">
        <v>38</v>
      </c>
      <c r="R21" s="2">
        <f t="shared" si="1"/>
        <v>0</v>
      </c>
    </row>
    <row r="22" spans="1:18">
      <c r="A22" s="3" t="s">
        <v>37</v>
      </c>
      <c r="B22" s="3" t="s">
        <v>39</v>
      </c>
      <c r="C22" s="3" t="s">
        <v>14</v>
      </c>
      <c r="D22" s="4">
        <f>407.955/(
407.955+(232/1))</f>
        <v>0.63747450992647925</v>
      </c>
      <c r="E22" s="4">
        <f t="shared" ref="E22:E25" si="8">-SQRT(D22)</f>
        <v>-0.79842000847077932</v>
      </c>
      <c r="F22" s="9">
        <f t="shared" si="7"/>
        <v>-1.0942387512196454</v>
      </c>
      <c r="G22" s="3"/>
      <c r="H22" s="3">
        <f t="shared" si="0"/>
        <v>0</v>
      </c>
      <c r="I22" s="3">
        <v>240</v>
      </c>
      <c r="J22" s="3">
        <v>2.1715</v>
      </c>
      <c r="K22" s="3">
        <v>99.96</v>
      </c>
      <c r="L22" s="19" t="s">
        <v>40</v>
      </c>
      <c r="M22" s="3"/>
      <c r="N22" s="3"/>
      <c r="O22" s="3"/>
      <c r="P22" s="3"/>
      <c r="Q22" s="3"/>
      <c r="R22" s="2">
        <f t="shared" si="1"/>
        <v>0</v>
      </c>
    </row>
    <row r="23" spans="1:18">
      <c r="A23" s="2" t="s">
        <v>37</v>
      </c>
      <c r="B23" s="2" t="s">
        <v>41</v>
      </c>
      <c r="C23" s="2" t="s">
        <v>14</v>
      </c>
      <c r="D23" s="2">
        <f>0.988</f>
        <v>0.98799999999999999</v>
      </c>
      <c r="E23" s="2">
        <f t="shared" si="8"/>
        <v>-0.99398189118313418</v>
      </c>
      <c r="F23" s="2">
        <f t="shared" ref="F23:F25" si="9">-0.5*LN((1+E23)/(1-E23))</f>
        <v>2.9015579044420834</v>
      </c>
      <c r="G23" s="5">
        <v>-2.8692000000000002</v>
      </c>
      <c r="H23" s="3">
        <f t="shared" si="0"/>
        <v>-0.99358083712210354</v>
      </c>
      <c r="I23" s="2">
        <v>600</v>
      </c>
      <c r="J23" s="2">
        <v>2.4274</v>
      </c>
      <c r="K23" s="13">
        <v>0.99970000000000003</v>
      </c>
      <c r="L23" s="2" t="s">
        <v>42</v>
      </c>
      <c r="R23" s="2">
        <f t="shared" si="1"/>
        <v>-0.99358083712210354</v>
      </c>
    </row>
    <row r="24" spans="1:18" ht="17" customHeight="1">
      <c r="A24" s="14" t="s">
        <v>37</v>
      </c>
      <c r="B24" s="14" t="s">
        <v>41</v>
      </c>
      <c r="C24" s="14" t="s">
        <v>14</v>
      </c>
      <c r="D24" s="14">
        <f>34.51/(34.51+(539/3))</f>
        <v>0.16112866325307768</v>
      </c>
      <c r="E24" s="14">
        <f t="shared" si="8"/>
        <v>-0.4014083497550564</v>
      </c>
      <c r="F24" s="14">
        <f t="shared" si="9"/>
        <v>0.42532666377780665</v>
      </c>
      <c r="G24" s="15"/>
      <c r="H24" s="3">
        <f t="shared" si="0"/>
        <v>0</v>
      </c>
      <c r="I24" s="14">
        <v>540</v>
      </c>
      <c r="J24" s="14"/>
      <c r="K24" s="14"/>
      <c r="L24" s="20" t="s">
        <v>43</v>
      </c>
      <c r="M24" s="14"/>
      <c r="N24" s="14"/>
      <c r="O24" s="14"/>
      <c r="P24" s="14"/>
      <c r="Q24" s="14"/>
      <c r="R24" s="2">
        <f t="shared" si="1"/>
        <v>0</v>
      </c>
    </row>
    <row r="25" spans="1:18" ht="22" customHeight="1">
      <c r="A25" s="14" t="s">
        <v>44</v>
      </c>
      <c r="B25" s="14" t="s">
        <v>45</v>
      </c>
      <c r="C25" s="14" t="s">
        <v>14</v>
      </c>
      <c r="D25" s="14">
        <f>19300.23/(19300.23+2)</f>
        <v>0.99989638502908729</v>
      </c>
      <c r="E25" s="14">
        <f t="shared" si="8"/>
        <v>-0.99994819117246636</v>
      </c>
      <c r="F25" s="14">
        <f t="shared" si="9"/>
        <v>5.2805356416606379</v>
      </c>
      <c r="G25" s="15"/>
      <c r="H25" s="3">
        <f t="shared" si="0"/>
        <v>0</v>
      </c>
      <c r="I25" s="14">
        <v>600</v>
      </c>
      <c r="J25" s="14"/>
      <c r="K25" s="14"/>
      <c r="L25" s="20" t="s">
        <v>46</v>
      </c>
      <c r="M25" s="14"/>
      <c r="N25" s="14"/>
      <c r="O25" s="14"/>
      <c r="P25" s="14"/>
      <c r="Q25" s="14"/>
      <c r="R25" s="2">
        <f t="shared" si="1"/>
        <v>0</v>
      </c>
    </row>
    <row r="26" spans="1:18">
      <c r="A26" s="3" t="s">
        <v>47</v>
      </c>
      <c r="B26" s="3" t="s">
        <v>39</v>
      </c>
      <c r="C26" s="3" t="s">
        <v>26</v>
      </c>
      <c r="D26" s="3">
        <v>6.25E-2</v>
      </c>
      <c r="E26" s="3">
        <v>0.25</v>
      </c>
      <c r="F26" s="5">
        <f t="shared" ref="F26:F30" si="10">0.5*LN((1+E26)/(1-E26))</f>
        <v>0.25541281188299536</v>
      </c>
      <c r="G26" s="4"/>
      <c r="H26" s="3">
        <f t="shared" si="0"/>
        <v>0</v>
      </c>
      <c r="I26" s="3">
        <v>240</v>
      </c>
      <c r="J26" s="3"/>
      <c r="K26" s="3"/>
      <c r="L26" s="3" t="s">
        <v>48</v>
      </c>
      <c r="M26" s="3"/>
      <c r="N26" s="3"/>
      <c r="O26" s="3"/>
      <c r="P26" s="3"/>
      <c r="Q26" s="3"/>
      <c r="R26" s="2">
        <f t="shared" si="1"/>
        <v>0</v>
      </c>
    </row>
    <row r="27" spans="1:18">
      <c r="A27" s="2" t="s">
        <v>49</v>
      </c>
      <c r="B27" s="2" t="s">
        <v>39</v>
      </c>
      <c r="C27" s="2" t="s">
        <v>14</v>
      </c>
      <c r="D27" s="2">
        <f>6.425/(6.425+26)</f>
        <v>0.19814957594448729</v>
      </c>
      <c r="E27" s="2">
        <f t="shared" ref="E27:E29" si="11">-SQRT(D27)</f>
        <v>-0.44513995096428638</v>
      </c>
      <c r="F27" s="2">
        <f t="shared" si="10"/>
        <v>-0.47862276484346677</v>
      </c>
      <c r="G27" s="5">
        <v>-0.76160000000000005</v>
      </c>
      <c r="H27" s="3">
        <f t="shared" si="0"/>
        <v>-0.64201842722620039</v>
      </c>
      <c r="I27" s="2">
        <v>27</v>
      </c>
      <c r="J27" s="2">
        <v>0.13370000000000001</v>
      </c>
      <c r="K27" s="13">
        <v>0.81910000000000005</v>
      </c>
      <c r="L27" s="2" t="s">
        <v>50</v>
      </c>
      <c r="R27" s="2">
        <f t="shared" si="1"/>
        <v>-0.64201842722620039</v>
      </c>
    </row>
    <row r="28" spans="1:18" ht="30">
      <c r="A28" s="21" t="s">
        <v>49</v>
      </c>
      <c r="B28" s="2" t="s">
        <v>39</v>
      </c>
      <c r="C28" s="2" t="s">
        <v>14</v>
      </c>
      <c r="D28" s="2">
        <f>82.5/(82.5+26)</f>
        <v>0.76036866359447008</v>
      </c>
      <c r="E28" s="2">
        <f t="shared" si="11"/>
        <v>-0.87199120614514802</v>
      </c>
      <c r="F28" s="2">
        <f t="shared" si="10"/>
        <v>-1.3413294979518464</v>
      </c>
      <c r="H28" s="3">
        <f t="shared" si="0"/>
        <v>0</v>
      </c>
      <c r="I28" s="2">
        <v>27</v>
      </c>
      <c r="L28" s="2" t="s">
        <v>51</v>
      </c>
      <c r="R28" s="2">
        <f t="shared" si="1"/>
        <v>0</v>
      </c>
    </row>
    <row r="29" spans="1:18" ht="30">
      <c r="A29" s="21" t="s">
        <v>49</v>
      </c>
      <c r="B29" s="2" t="s">
        <v>39</v>
      </c>
      <c r="C29" s="2" t="s">
        <v>14</v>
      </c>
      <c r="D29" s="2">
        <f>6.425/(6.425+8)</f>
        <v>0.4454072790294627</v>
      </c>
      <c r="E29" s="2">
        <f t="shared" si="11"/>
        <v>-0.66738840192908855</v>
      </c>
      <c r="F29" s="2">
        <f t="shared" si="10"/>
        <v>-0.8060192065453452</v>
      </c>
      <c r="H29" s="3">
        <f t="shared" si="0"/>
        <v>0</v>
      </c>
      <c r="I29" s="2">
        <v>9</v>
      </c>
      <c r="L29" s="2" t="s">
        <v>51</v>
      </c>
      <c r="R29" s="2">
        <f t="shared" si="1"/>
        <v>0</v>
      </c>
    </row>
    <row r="30" spans="1:18">
      <c r="A30" s="2" t="s">
        <v>49</v>
      </c>
      <c r="B30" s="2" t="s">
        <v>39</v>
      </c>
      <c r="C30" s="2" t="s">
        <v>14</v>
      </c>
      <c r="D30" s="2">
        <f>E30*E30</f>
        <v>0.50409999999999999</v>
      </c>
      <c r="E30" s="2">
        <v>-0.71</v>
      </c>
      <c r="F30" s="2">
        <f t="shared" si="10"/>
        <v>-0.88718386325809284</v>
      </c>
      <c r="H30" s="3">
        <f t="shared" si="0"/>
        <v>0</v>
      </c>
      <c r="I30" s="2">
        <v>260</v>
      </c>
      <c r="L30" s="2" t="s">
        <v>48</v>
      </c>
      <c r="R30" s="2">
        <f t="shared" si="1"/>
        <v>0</v>
      </c>
    </row>
    <row r="31" spans="1:18">
      <c r="A31" s="2" t="s">
        <v>49</v>
      </c>
      <c r="B31" s="2" t="s">
        <v>39</v>
      </c>
      <c r="C31" s="2" t="s">
        <v>14</v>
      </c>
      <c r="D31" s="8"/>
      <c r="E31" s="8">
        <v>-0.28000000000000003</v>
      </c>
      <c r="F31" s="8">
        <f>-0.5*LN((1+E31)/(1-E31))</f>
        <v>0.2876820724517809</v>
      </c>
      <c r="G31" s="8"/>
      <c r="H31" s="3">
        <f t="shared" si="0"/>
        <v>0</v>
      </c>
      <c r="I31" s="2">
        <v>29</v>
      </c>
      <c r="L31" s="2" t="s">
        <v>52</v>
      </c>
      <c r="R31" s="2">
        <f t="shared" si="1"/>
        <v>0</v>
      </c>
    </row>
    <row r="32" spans="1:18">
      <c r="A32" s="22" t="s">
        <v>53</v>
      </c>
      <c r="B32" s="22" t="s">
        <v>13</v>
      </c>
      <c r="C32" s="22" t="s">
        <v>19</v>
      </c>
      <c r="D32" s="22">
        <v>0.85</v>
      </c>
      <c r="E32" s="22">
        <f t="shared" ref="E32:E37" si="12">-SQRT(D32)</f>
        <v>-0.92195444572928875</v>
      </c>
      <c r="F32" s="5">
        <f t="shared" ref="F32:F37" si="13">0.5*LN((1+E32)/(1-E32))</f>
        <v>-1.6019026012165505</v>
      </c>
      <c r="G32" s="22"/>
      <c r="H32" s="3">
        <f t="shared" si="0"/>
        <v>0</v>
      </c>
      <c r="I32" s="22">
        <v>50</v>
      </c>
      <c r="J32" s="22"/>
      <c r="K32" s="22"/>
      <c r="L32" s="23" t="s">
        <v>54</v>
      </c>
      <c r="M32" s="22"/>
      <c r="N32" s="22"/>
      <c r="O32" s="22"/>
      <c r="P32" s="22"/>
      <c r="Q32" s="22"/>
      <c r="R32" s="2">
        <f t="shared" si="1"/>
        <v>0</v>
      </c>
    </row>
    <row r="33" spans="1:18">
      <c r="A33" s="2" t="s">
        <v>53</v>
      </c>
      <c r="B33" s="2" t="s">
        <v>18</v>
      </c>
      <c r="C33" s="2" t="s">
        <v>19</v>
      </c>
      <c r="D33" s="2">
        <v>0.77</v>
      </c>
      <c r="E33" s="2">
        <f t="shared" si="12"/>
        <v>-0.87749643873921224</v>
      </c>
      <c r="F33" s="2">
        <f t="shared" si="13"/>
        <v>-1.3647771928738179</v>
      </c>
      <c r="G33" s="5">
        <v>-1.0981000000000001</v>
      </c>
      <c r="H33" s="3">
        <f t="shared" si="0"/>
        <v>-0.79981550048201067</v>
      </c>
      <c r="I33" s="2">
        <v>50</v>
      </c>
      <c r="J33" s="2">
        <v>0.3246</v>
      </c>
      <c r="K33" s="13">
        <v>0.89429999999999998</v>
      </c>
      <c r="L33" s="24" t="s">
        <v>54</v>
      </c>
      <c r="R33" s="2">
        <f t="shared" si="1"/>
        <v>-0.79981550048201067</v>
      </c>
    </row>
    <row r="34" spans="1:18">
      <c r="A34" s="2" t="s">
        <v>53</v>
      </c>
      <c r="B34" s="2" t="s">
        <v>18</v>
      </c>
      <c r="C34" s="2" t="s">
        <v>19</v>
      </c>
      <c r="D34" s="25">
        <f>173.18/(173.18+(83/3))</f>
        <v>0.86224980914130189</v>
      </c>
      <c r="E34" s="25">
        <f t="shared" si="12"/>
        <v>-0.92857407305034201</v>
      </c>
      <c r="F34" s="25">
        <f t="shared" si="13"/>
        <v>-1.6479376303024114</v>
      </c>
      <c r="H34" s="3">
        <f t="shared" si="0"/>
        <v>0</v>
      </c>
      <c r="I34" s="2">
        <v>25</v>
      </c>
      <c r="L34" s="2" t="s">
        <v>55</v>
      </c>
      <c r="R34" s="2">
        <f t="shared" si="1"/>
        <v>0</v>
      </c>
    </row>
    <row r="35" spans="1:18">
      <c r="A35" s="2" t="s">
        <v>53</v>
      </c>
      <c r="B35" s="2" t="s">
        <v>18</v>
      </c>
      <c r="C35" s="2" t="s">
        <v>19</v>
      </c>
      <c r="D35" s="25">
        <f>5.63/(5.63+(89/3))</f>
        <v>0.15950514685050524</v>
      </c>
      <c r="E35" s="25">
        <f t="shared" si="12"/>
        <v>-0.399380954541532</v>
      </c>
      <c r="F35" s="25">
        <f t="shared" si="13"/>
        <v>-0.42291218836050976</v>
      </c>
      <c r="H35" s="3">
        <f t="shared" si="0"/>
        <v>0</v>
      </c>
      <c r="I35" s="2">
        <v>25</v>
      </c>
      <c r="L35" s="2" t="s">
        <v>55</v>
      </c>
      <c r="R35" s="2">
        <f t="shared" si="1"/>
        <v>0</v>
      </c>
    </row>
    <row r="36" spans="1:18">
      <c r="A36" s="2" t="s">
        <v>53</v>
      </c>
      <c r="B36" s="2" t="s">
        <v>18</v>
      </c>
      <c r="C36" s="2" t="s">
        <v>19</v>
      </c>
      <c r="D36" s="25">
        <f>6.53/(6.53+(91/3))</f>
        <v>0.17714079030653768</v>
      </c>
      <c r="E36" s="25">
        <f t="shared" si="12"/>
        <v>-0.42088096928530477</v>
      </c>
      <c r="F36" s="25">
        <f t="shared" si="13"/>
        <v>-0.4487621614344412</v>
      </c>
      <c r="H36" s="3">
        <f t="shared" si="0"/>
        <v>0</v>
      </c>
      <c r="I36" s="2">
        <v>25</v>
      </c>
      <c r="L36" s="2" t="s">
        <v>55</v>
      </c>
      <c r="R36" s="2">
        <f t="shared" si="1"/>
        <v>0</v>
      </c>
    </row>
    <row r="37" spans="1:18">
      <c r="A37" s="2" t="s">
        <v>53</v>
      </c>
      <c r="B37" s="2" t="s">
        <v>18</v>
      </c>
      <c r="C37" s="2" t="s">
        <v>19</v>
      </c>
      <c r="D37" s="25">
        <f>146.38/(146.38+(80/3))</f>
        <v>0.84589898678583819</v>
      </c>
      <c r="E37" s="25">
        <f t="shared" si="12"/>
        <v>-0.91972766990334598</v>
      </c>
      <c r="F37" s="25">
        <f t="shared" si="13"/>
        <v>-1.5872568182048643</v>
      </c>
      <c r="H37" s="3">
        <f t="shared" si="0"/>
        <v>0</v>
      </c>
      <c r="I37" s="2">
        <v>25</v>
      </c>
      <c r="L37" s="2" t="s">
        <v>55</v>
      </c>
      <c r="R37" s="2">
        <f t="shared" si="1"/>
        <v>0</v>
      </c>
    </row>
    <row r="38" spans="1:18">
      <c r="A38" s="22" t="s">
        <v>56</v>
      </c>
      <c r="B38" s="22" t="s">
        <v>13</v>
      </c>
      <c r="C38" s="22" t="s">
        <v>19</v>
      </c>
      <c r="D38" s="22">
        <f>8.14/100</f>
        <v>8.14E-2</v>
      </c>
      <c r="E38" s="22">
        <f t="shared" ref="E38:E44" si="14">SQRT(D38)</f>
        <v>0.28530685235374209</v>
      </c>
      <c r="F38" s="22">
        <f t="shared" ref="F38:F42" si="15">-0.5*LN((1+E38)/(1-E38))</f>
        <v>-0.2934497389912975</v>
      </c>
      <c r="G38" s="5">
        <v>-0.31830000000000003</v>
      </c>
      <c r="H38" s="3">
        <f t="shared" si="0"/>
        <v>-0.30796896418829289</v>
      </c>
      <c r="I38" s="22">
        <v>100</v>
      </c>
      <c r="J38" s="22">
        <v>1.29E-2</v>
      </c>
      <c r="K38" s="26">
        <v>0.55589999999999995</v>
      </c>
      <c r="L38" s="22" t="s">
        <v>57</v>
      </c>
      <c r="M38" s="22"/>
      <c r="N38" s="22"/>
      <c r="O38" s="22"/>
      <c r="P38" s="22"/>
      <c r="Q38" s="22"/>
      <c r="R38" s="2">
        <f t="shared" si="1"/>
        <v>-0.30796896418829289</v>
      </c>
    </row>
    <row r="39" spans="1:18">
      <c r="A39" s="22" t="s">
        <v>56</v>
      </c>
      <c r="B39" s="22" t="s">
        <v>13</v>
      </c>
      <c r="C39" s="22" t="s">
        <v>19</v>
      </c>
      <c r="D39" s="22">
        <f>4.22/100</f>
        <v>4.2199999999999994E-2</v>
      </c>
      <c r="E39" s="22">
        <f t="shared" si="14"/>
        <v>0.20542638584174136</v>
      </c>
      <c r="F39" s="22">
        <f t="shared" si="15"/>
        <v>-0.20839149706185575</v>
      </c>
      <c r="G39" s="22"/>
      <c r="H39" s="3">
        <f t="shared" si="0"/>
        <v>0</v>
      </c>
      <c r="I39" s="22">
        <v>100</v>
      </c>
      <c r="J39" s="22"/>
      <c r="K39" s="22"/>
      <c r="L39" s="22" t="s">
        <v>57</v>
      </c>
      <c r="M39" s="22"/>
      <c r="N39" s="22"/>
      <c r="O39" s="22"/>
      <c r="P39" s="22"/>
      <c r="Q39" s="22"/>
      <c r="R39" s="2">
        <f t="shared" si="1"/>
        <v>0</v>
      </c>
    </row>
    <row r="40" spans="1:18">
      <c r="A40" s="22" t="s">
        <v>56</v>
      </c>
      <c r="B40" s="22" t="s">
        <v>13</v>
      </c>
      <c r="C40" s="22" t="s">
        <v>19</v>
      </c>
      <c r="D40" s="22">
        <f>4.45/100</f>
        <v>4.4500000000000005E-2</v>
      </c>
      <c r="E40" s="22">
        <f t="shared" si="14"/>
        <v>0.21095023109728989</v>
      </c>
      <c r="F40" s="22">
        <f t="shared" si="15"/>
        <v>-0.21416562401754663</v>
      </c>
      <c r="G40" s="22"/>
      <c r="H40" s="3">
        <f t="shared" si="0"/>
        <v>0</v>
      </c>
      <c r="I40" s="22">
        <v>100</v>
      </c>
      <c r="J40" s="22"/>
      <c r="K40" s="22"/>
      <c r="L40" s="22" t="s">
        <v>57</v>
      </c>
      <c r="M40" s="22"/>
      <c r="N40" s="22"/>
      <c r="O40" s="22"/>
      <c r="P40" s="22"/>
      <c r="Q40" s="22"/>
      <c r="R40" s="2">
        <f t="shared" si="1"/>
        <v>0</v>
      </c>
    </row>
    <row r="41" spans="1:18">
      <c r="A41" s="22" t="s">
        <v>56</v>
      </c>
      <c r="B41" s="22" t="s">
        <v>13</v>
      </c>
      <c r="C41" s="22" t="s">
        <v>19</v>
      </c>
      <c r="D41" s="22">
        <f>8.23/100</f>
        <v>8.2299999999999998E-2</v>
      </c>
      <c r="E41" s="22">
        <f t="shared" si="14"/>
        <v>0.28687976575562102</v>
      </c>
      <c r="F41" s="22">
        <f t="shared" si="15"/>
        <v>-0.2951628717271535</v>
      </c>
      <c r="G41" s="22"/>
      <c r="H41" s="3">
        <f t="shared" si="0"/>
        <v>0</v>
      </c>
      <c r="I41" s="22">
        <v>100</v>
      </c>
      <c r="J41" s="22"/>
      <c r="K41" s="22"/>
      <c r="L41" s="22" t="s">
        <v>57</v>
      </c>
      <c r="M41" s="22"/>
      <c r="N41" s="22"/>
      <c r="O41" s="22"/>
      <c r="P41" s="22"/>
      <c r="Q41" s="22"/>
      <c r="R41" s="2">
        <f t="shared" si="1"/>
        <v>0</v>
      </c>
    </row>
    <row r="42" spans="1:18">
      <c r="A42" s="22" t="s">
        <v>56</v>
      </c>
      <c r="B42" s="22" t="s">
        <v>13</v>
      </c>
      <c r="C42" s="22" t="s">
        <v>19</v>
      </c>
      <c r="D42" s="22">
        <f>27.36/100</f>
        <v>0.27360000000000001</v>
      </c>
      <c r="E42" s="22">
        <f t="shared" si="14"/>
        <v>0.5230678732248808</v>
      </c>
      <c r="F42" s="22">
        <f t="shared" si="15"/>
        <v>-0.58055386424677891</v>
      </c>
      <c r="G42" s="22"/>
      <c r="H42" s="3">
        <f t="shared" si="0"/>
        <v>0</v>
      </c>
      <c r="I42" s="22">
        <v>100</v>
      </c>
      <c r="J42" s="22"/>
      <c r="K42" s="22"/>
      <c r="L42" s="22" t="s">
        <v>57</v>
      </c>
      <c r="M42" s="22"/>
      <c r="N42" s="22"/>
      <c r="O42" s="22"/>
      <c r="P42" s="22"/>
      <c r="Q42" s="22"/>
      <c r="R42" s="2">
        <f t="shared" si="1"/>
        <v>0</v>
      </c>
    </row>
    <row r="43" spans="1:18">
      <c r="A43" s="2" t="s">
        <v>49</v>
      </c>
      <c r="B43" s="2" t="s">
        <v>58</v>
      </c>
      <c r="C43" s="2" t="s">
        <v>59</v>
      </c>
      <c r="D43" s="2">
        <f>9.126/(9.126+(28/2))</f>
        <v>0.39462077315575544</v>
      </c>
      <c r="E43" s="2">
        <f t="shared" si="14"/>
        <v>0.62818848537342309</v>
      </c>
      <c r="F43" s="2">
        <f t="shared" ref="F43:F48" si="16">0.5*LN((1+E43)/(1-E43))</f>
        <v>0.73841813618083729</v>
      </c>
      <c r="G43" s="5">
        <v>0.1542</v>
      </c>
      <c r="H43" s="3">
        <f t="shared" si="0"/>
        <v>0.15298934263163813</v>
      </c>
      <c r="I43" s="2">
        <v>35</v>
      </c>
      <c r="L43" s="2" t="s">
        <v>60</v>
      </c>
      <c r="R43" s="2">
        <f t="shared" si="1"/>
        <v>0.15298934263163813</v>
      </c>
    </row>
    <row r="44" spans="1:18">
      <c r="A44" s="2" t="s">
        <v>49</v>
      </c>
      <c r="B44" s="2" t="s">
        <v>58</v>
      </c>
      <c r="C44" s="2" t="s">
        <v>59</v>
      </c>
      <c r="D44" s="2">
        <f>6.95/(6.95+(28/2))</f>
        <v>0.33174224343675418</v>
      </c>
      <c r="E44" s="2">
        <f t="shared" si="14"/>
        <v>0.57597069668235223</v>
      </c>
      <c r="F44" s="2">
        <f t="shared" si="16"/>
        <v>0.65641205616360576</v>
      </c>
      <c r="G44" s="27"/>
      <c r="H44" s="3">
        <f t="shared" si="0"/>
        <v>0</v>
      </c>
      <c r="I44" s="2">
        <v>35</v>
      </c>
      <c r="L44" s="2" t="s">
        <v>60</v>
      </c>
      <c r="R44" s="2">
        <f t="shared" si="1"/>
        <v>0</v>
      </c>
    </row>
    <row r="45" spans="1:18" ht="25" customHeight="1">
      <c r="A45" s="28" t="s">
        <v>49</v>
      </c>
      <c r="B45" s="2" t="s">
        <v>58</v>
      </c>
      <c r="C45" s="2" t="s">
        <v>19</v>
      </c>
      <c r="D45" s="2">
        <v>0.51</v>
      </c>
      <c r="E45" s="2">
        <f>-SQRT(D45)</f>
        <v>-0.71414284285428498</v>
      </c>
      <c r="F45" s="2">
        <f t="shared" si="16"/>
        <v>-0.89558809952997576</v>
      </c>
      <c r="G45" s="27"/>
      <c r="H45" s="3">
        <f t="shared" si="0"/>
        <v>0</v>
      </c>
      <c r="I45" s="2">
        <v>565</v>
      </c>
      <c r="L45" s="29" t="s">
        <v>52</v>
      </c>
      <c r="R45" s="2">
        <f t="shared" si="1"/>
        <v>0</v>
      </c>
    </row>
    <row r="46" spans="1:18" ht="20" customHeight="1">
      <c r="A46" s="10" t="s">
        <v>41</v>
      </c>
      <c r="B46" s="10" t="s">
        <v>58</v>
      </c>
      <c r="C46" s="10" t="s">
        <v>14</v>
      </c>
      <c r="D46" s="4">
        <f>E46*E46</f>
        <v>0.505521</v>
      </c>
      <c r="E46" s="4">
        <v>-0.71099999999999997</v>
      </c>
      <c r="F46" s="9">
        <f t="shared" si="16"/>
        <v>-0.88920329288988054</v>
      </c>
      <c r="G46" s="10"/>
      <c r="H46" s="3">
        <f t="shared" si="0"/>
        <v>0</v>
      </c>
      <c r="I46" s="4">
        <v>240</v>
      </c>
      <c r="J46" s="10"/>
      <c r="K46" s="10"/>
      <c r="L46" s="30" t="s">
        <v>61</v>
      </c>
      <c r="M46" s="10"/>
      <c r="N46" s="10"/>
      <c r="O46" s="10"/>
      <c r="P46" s="10"/>
      <c r="Q46" s="10"/>
      <c r="R46" s="2">
        <f t="shared" si="1"/>
        <v>0</v>
      </c>
    </row>
    <row r="47" spans="1:18">
      <c r="A47" s="31" t="s">
        <v>58</v>
      </c>
      <c r="B47" s="31" t="s">
        <v>39</v>
      </c>
      <c r="C47" s="31" t="s">
        <v>26</v>
      </c>
      <c r="D47" s="31"/>
      <c r="E47" s="31">
        <v>0.71827991305473504</v>
      </c>
      <c r="F47" s="32">
        <f t="shared" si="16"/>
        <v>0.90408252018680124</v>
      </c>
      <c r="G47" s="5">
        <v>0.44750000000000001</v>
      </c>
      <c r="H47" s="3">
        <f t="shared" si="0"/>
        <v>0.41984183666890645</v>
      </c>
      <c r="I47" s="31">
        <v>9</v>
      </c>
      <c r="J47" s="33">
        <v>0.1615</v>
      </c>
      <c r="K47" s="34">
        <v>0.62519999999999998</v>
      </c>
      <c r="L47" s="33"/>
      <c r="M47" s="35"/>
      <c r="N47" s="35"/>
      <c r="O47" s="35"/>
      <c r="P47" s="35"/>
      <c r="Q47" s="35"/>
      <c r="R47" s="2">
        <f t="shared" si="1"/>
        <v>0.41984183666890645</v>
      </c>
    </row>
    <row r="48" spans="1:18" ht="19" customHeight="1">
      <c r="A48" s="36" t="s">
        <v>58</v>
      </c>
      <c r="B48" s="33" t="s">
        <v>39</v>
      </c>
      <c r="C48" s="33" t="s">
        <v>26</v>
      </c>
      <c r="D48" s="32">
        <f>1.18/(1.18+34)</f>
        <v>3.3541785105173395E-2</v>
      </c>
      <c r="E48" s="32">
        <f>SQRT(D48)</f>
        <v>0.18314416481333332</v>
      </c>
      <c r="F48" s="32">
        <f t="shared" si="16"/>
        <v>0.18523404866562629</v>
      </c>
      <c r="G48" s="33"/>
      <c r="H48" s="3">
        <f t="shared" si="0"/>
        <v>0</v>
      </c>
      <c r="I48" s="32">
        <v>40</v>
      </c>
      <c r="J48" s="33"/>
      <c r="K48" s="33"/>
      <c r="L48" s="37" t="s">
        <v>62</v>
      </c>
      <c r="M48" s="35"/>
      <c r="N48" s="35"/>
      <c r="O48" s="35"/>
      <c r="P48" s="35"/>
      <c r="Q48" s="35"/>
      <c r="R48" s="2">
        <f t="shared" si="1"/>
        <v>0</v>
      </c>
    </row>
    <row r="49" spans="1:18">
      <c r="H49" s="3">
        <f t="shared" si="0"/>
        <v>0</v>
      </c>
      <c r="L49" s="2" t="s">
        <v>63</v>
      </c>
      <c r="R49" s="2">
        <f t="shared" si="1"/>
        <v>0</v>
      </c>
    </row>
    <row r="50" spans="1:18">
      <c r="A50" s="35"/>
      <c r="B50" s="35"/>
      <c r="C50" s="35" t="s">
        <v>64</v>
      </c>
      <c r="D50" s="35"/>
      <c r="E50" s="35"/>
      <c r="F50" s="35"/>
      <c r="G50" s="35"/>
      <c r="H50" s="3">
        <f t="shared" si="0"/>
        <v>0</v>
      </c>
      <c r="I50" s="35"/>
      <c r="J50" s="35"/>
      <c r="K50" s="35"/>
      <c r="L50" s="38" t="s">
        <v>65</v>
      </c>
      <c r="M50" s="35"/>
      <c r="N50" s="35"/>
      <c r="O50" s="35"/>
      <c r="P50" s="35"/>
      <c r="Q50" s="35"/>
      <c r="R50" s="2">
        <f t="shared" si="1"/>
        <v>0</v>
      </c>
    </row>
    <row r="51" spans="1:18">
      <c r="A51" s="2" t="s">
        <v>12</v>
      </c>
      <c r="B51" s="2" t="s">
        <v>66</v>
      </c>
      <c r="C51" s="2" t="s">
        <v>14</v>
      </c>
      <c r="D51" s="35"/>
      <c r="E51" s="39">
        <v>-0.44840000000000002</v>
      </c>
      <c r="F51" s="9">
        <f t="shared" ref="F51:F53" si="17">0.5*LN((1+E51)/(1-E51))</f>
        <v>-0.48269581598616973</v>
      </c>
      <c r="G51" s="35"/>
      <c r="H51" s="3">
        <f t="shared" si="0"/>
        <v>0</v>
      </c>
      <c r="I51" s="35">
        <v>96</v>
      </c>
      <c r="J51" s="35"/>
      <c r="K51" s="35"/>
      <c r="L51" s="40" t="s">
        <v>67</v>
      </c>
      <c r="M51" s="35"/>
      <c r="N51" s="35"/>
      <c r="O51" s="35"/>
      <c r="P51" s="35"/>
      <c r="Q51" s="35"/>
      <c r="R51" s="35"/>
    </row>
    <row r="52" spans="1:18">
      <c r="A52" s="2" t="s">
        <v>12</v>
      </c>
      <c r="B52" s="2" t="s">
        <v>68</v>
      </c>
      <c r="C52" s="2" t="s">
        <v>26</v>
      </c>
      <c r="D52" s="35"/>
      <c r="E52" s="41">
        <v>0.22989999999999999</v>
      </c>
      <c r="F52" s="8">
        <f t="shared" si="17"/>
        <v>0.23408388385158019</v>
      </c>
      <c r="G52" s="11">
        <v>0.2341</v>
      </c>
      <c r="H52" s="3">
        <f t="shared" si="0"/>
        <v>0.229915264288793</v>
      </c>
      <c r="I52" s="35">
        <v>96</v>
      </c>
      <c r="J52" s="35"/>
      <c r="K52" s="35"/>
      <c r="L52" s="40" t="s">
        <v>67</v>
      </c>
      <c r="M52" s="35"/>
      <c r="N52" s="35"/>
      <c r="O52" s="35"/>
      <c r="P52" s="35"/>
      <c r="Q52" s="35"/>
      <c r="R52" s="35"/>
    </row>
    <row r="53" spans="1:18">
      <c r="A53" s="2" t="s">
        <v>12</v>
      </c>
      <c r="B53" s="2" t="s">
        <v>68</v>
      </c>
      <c r="C53" s="2" t="s">
        <v>26</v>
      </c>
      <c r="D53" s="35">
        <f>0.158/(0.158+34)</f>
        <v>4.6255635575853382E-3</v>
      </c>
      <c r="E53" s="41">
        <f>SQRT(D53)</f>
        <v>6.8011495775238892E-2</v>
      </c>
      <c r="F53" s="8">
        <f t="shared" si="17"/>
        <v>6.8116651604986034E-2</v>
      </c>
      <c r="G53" s="42"/>
      <c r="H53" s="3">
        <f t="shared" si="0"/>
        <v>0</v>
      </c>
      <c r="I53" s="35" t="s">
        <v>69</v>
      </c>
      <c r="J53" s="35"/>
      <c r="K53" s="35"/>
      <c r="L53" s="40" t="s">
        <v>70</v>
      </c>
      <c r="M53" s="35"/>
      <c r="N53" s="35"/>
      <c r="O53" s="35"/>
      <c r="P53" s="35"/>
      <c r="Q53" s="35"/>
      <c r="R53" s="35"/>
    </row>
    <row r="54" spans="1:18">
      <c r="A54" s="2" t="s">
        <v>71</v>
      </c>
      <c r="H54" s="3">
        <f t="shared" si="0"/>
        <v>0</v>
      </c>
      <c r="L54" s="2"/>
    </row>
    <row r="55" spans="1:18">
      <c r="L55" s="2"/>
    </row>
    <row r="56" spans="1:18">
      <c r="A56" s="43" t="s">
        <v>72</v>
      </c>
      <c r="B56" s="43" t="s">
        <v>13</v>
      </c>
      <c r="C56" s="43" t="s">
        <v>26</v>
      </c>
      <c r="D56" s="43">
        <v>0.63</v>
      </c>
      <c r="E56" s="43">
        <f>SQRT(D56)</f>
        <v>0.79372539331937719</v>
      </c>
      <c r="F56" s="44">
        <f>0.5*LN((1+E56)/(1-E56))</f>
        <v>1.0814208190935315</v>
      </c>
      <c r="G56" s="43"/>
      <c r="H56" s="43"/>
      <c r="I56" s="43">
        <v>7</v>
      </c>
      <c r="J56" s="43"/>
      <c r="K56" s="43"/>
      <c r="L56" s="43" t="s">
        <v>33</v>
      </c>
      <c r="M56" s="43"/>
      <c r="N56" s="43"/>
      <c r="O56" s="43"/>
      <c r="P56" s="43"/>
      <c r="Q56" s="43"/>
      <c r="R56" s="43"/>
    </row>
    <row r="57" spans="1:18">
      <c r="A57" s="43" t="s">
        <v>24</v>
      </c>
      <c r="B57" s="43" t="s">
        <v>73</v>
      </c>
      <c r="C57" s="43" t="s">
        <v>19</v>
      </c>
      <c r="D57" s="44">
        <f>2.179/(2.179+(281/1))</f>
        <v>7.694779627020365E-3</v>
      </c>
      <c r="E57" s="44">
        <f>SQRT(D57)</f>
        <v>8.7719892994806856E-2</v>
      </c>
      <c r="F57" s="44">
        <f>-0.5*LN((1+E57)/(1-E57))</f>
        <v>-8.7945932592945322E-2</v>
      </c>
      <c r="G57" s="43"/>
      <c r="H57" s="43"/>
      <c r="I57" s="43" t="s">
        <v>74</v>
      </c>
      <c r="J57" s="43"/>
      <c r="K57" s="43"/>
      <c r="L57" s="43" t="s">
        <v>16</v>
      </c>
      <c r="M57" s="43"/>
      <c r="N57" s="43"/>
      <c r="O57" s="43"/>
      <c r="P57" s="43"/>
      <c r="Q57" s="43"/>
      <c r="R57" s="43"/>
    </row>
    <row r="58" spans="1:18">
      <c r="A58" s="45" t="s">
        <v>75</v>
      </c>
      <c r="B58" s="45" t="s">
        <v>58</v>
      </c>
      <c r="C58" s="45" t="s">
        <v>59</v>
      </c>
      <c r="D58" s="45" t="s">
        <v>76</v>
      </c>
      <c r="E58" s="45"/>
      <c r="F58" s="45"/>
      <c r="G58" s="45"/>
      <c r="H58" s="45"/>
      <c r="I58" s="45" t="s">
        <v>74</v>
      </c>
      <c r="J58" s="45"/>
      <c r="K58" s="45"/>
      <c r="L58" s="45" t="s">
        <v>60</v>
      </c>
      <c r="M58" s="45"/>
      <c r="N58" s="45"/>
      <c r="O58" s="45"/>
      <c r="P58" s="45"/>
      <c r="Q58" s="45"/>
      <c r="R58" s="45"/>
    </row>
    <row r="59" spans="1:18">
      <c r="A59" s="45" t="s">
        <v>77</v>
      </c>
      <c r="B59" s="45" t="s">
        <v>37</v>
      </c>
      <c r="C59" s="45" t="s">
        <v>26</v>
      </c>
      <c r="D59" s="44">
        <f>0.346/(0.346+239)</f>
        <v>1.4456059428609627E-3</v>
      </c>
      <c r="E59" s="44">
        <f>SQRT(D59)</f>
        <v>3.80211249552267E-2</v>
      </c>
      <c r="F59" s="44">
        <f t="shared" ref="F59:F62" si="18">0.5*LN((1+E59)/(1-E59))</f>
        <v>3.8039462050848127E-2</v>
      </c>
      <c r="G59" s="45"/>
      <c r="H59" s="45"/>
      <c r="I59" s="44">
        <v>30</v>
      </c>
      <c r="J59" s="45"/>
      <c r="K59" s="45"/>
      <c r="L59" s="46" t="s">
        <v>78</v>
      </c>
      <c r="M59" s="45"/>
      <c r="N59" s="45"/>
      <c r="O59" s="45"/>
      <c r="P59" s="45"/>
      <c r="Q59" s="45"/>
      <c r="R59" s="45"/>
    </row>
    <row r="60" spans="1:18">
      <c r="A60" s="45" t="s">
        <v>77</v>
      </c>
      <c r="B60" s="45" t="s">
        <v>39</v>
      </c>
      <c r="C60" s="45" t="s">
        <v>79</v>
      </c>
      <c r="D60" s="45"/>
      <c r="E60" s="44">
        <v>0.34</v>
      </c>
      <c r="F60" s="44">
        <f t="shared" si="18"/>
        <v>0.35409252896224302</v>
      </c>
      <c r="G60" s="45"/>
      <c r="H60" s="45"/>
      <c r="I60" s="44">
        <v>29</v>
      </c>
      <c r="J60" s="45"/>
      <c r="K60" s="45"/>
      <c r="L60" s="45" t="s">
        <v>52</v>
      </c>
      <c r="M60" s="45"/>
      <c r="N60" s="45"/>
      <c r="O60" s="45"/>
      <c r="P60" s="45"/>
      <c r="Q60" s="45"/>
      <c r="R60" s="45"/>
    </row>
    <row r="61" spans="1:18">
      <c r="A61" s="45" t="s">
        <v>39</v>
      </c>
      <c r="B61" s="45" t="s">
        <v>25</v>
      </c>
      <c r="C61" s="45" t="s">
        <v>26</v>
      </c>
      <c r="D61" s="45"/>
      <c r="E61" s="44">
        <v>0.73</v>
      </c>
      <c r="F61" s="44">
        <f t="shared" si="18"/>
        <v>0.92872736424672486</v>
      </c>
      <c r="G61" s="45"/>
      <c r="H61" s="45"/>
      <c r="I61" s="44">
        <v>6</v>
      </c>
      <c r="J61" s="43"/>
      <c r="K61" s="43"/>
      <c r="L61" s="43"/>
      <c r="M61" s="43"/>
      <c r="N61" s="43"/>
      <c r="O61" s="43"/>
      <c r="P61" s="43"/>
      <c r="Q61" s="43"/>
      <c r="R61" s="43"/>
    </row>
    <row r="62" spans="1:18">
      <c r="A62" s="45" t="s">
        <v>39</v>
      </c>
      <c r="B62" s="45" t="s">
        <v>29</v>
      </c>
      <c r="C62" s="45" t="s">
        <v>80</v>
      </c>
      <c r="D62" s="45"/>
      <c r="E62" s="44">
        <v>0.82502994832562304</v>
      </c>
      <c r="F62" s="44">
        <f t="shared" si="18"/>
        <v>1.1723684249670594</v>
      </c>
      <c r="G62" s="45"/>
      <c r="H62" s="45"/>
      <c r="I62" s="45"/>
      <c r="J62" s="43"/>
      <c r="K62" s="43"/>
      <c r="L62" s="43"/>
      <c r="M62" s="43"/>
      <c r="N62" s="43"/>
      <c r="O62" s="43"/>
      <c r="P62" s="43"/>
      <c r="Q62" s="43"/>
      <c r="R62" s="43"/>
    </row>
  </sheetData>
  <hyperlinks>
    <hyperlink ref="L21" r:id="rId1" location="Results_and_Discussion" xr:uid="{2C448154-08EC-E647-B9CF-5B95C3796D7A}"/>
    <hyperlink ref="L22" r:id="rId2" xr:uid="{AD16F92F-DD48-8040-92D1-A81AB023E61D}"/>
    <hyperlink ref="L24" r:id="rId3" xr:uid="{314C8571-A50B-FF4B-9F7E-A6EE3418F0F5}"/>
    <hyperlink ref="L25" r:id="rId4" xr:uid="{864EA79D-9242-1E48-A520-8F8FC4776BB9}"/>
    <hyperlink ref="L51" r:id="rId5" location="sec3" xr:uid="{280D6C66-2D77-544A-8D37-9C1498910E00}"/>
    <hyperlink ref="L52" r:id="rId6" location="sec3" xr:uid="{3882634F-94AE-E542-AB3A-B8974DA4D882}"/>
    <hyperlink ref="L53" r:id="rId7" location="section0035" xr:uid="{8610676F-1ECF-024F-90B9-B0176981DB1D}"/>
    <hyperlink ref="L59" r:id="rId8" xr:uid="{7BA1B01F-7DD3-7743-A565-707ADB9EF5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Crina Malanciuc</dc:creator>
  <cp:lastModifiedBy>Crina Malanciuc</cp:lastModifiedBy>
  <dcterms:created xsi:type="dcterms:W3CDTF">2025-12-01T19:16:35Z</dcterms:created>
  <dcterms:modified xsi:type="dcterms:W3CDTF">2025-12-01T19:19:24Z</dcterms:modified>
</cp:coreProperties>
</file>